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urs\Projet VBA Excel\"/>
    </mc:Choice>
  </mc:AlternateContent>
  <bookViews>
    <workbookView xWindow="0" yWindow="0" windowWidth="23040" windowHeight="9970"/>
  </bookViews>
  <sheets>
    <sheet name="Gestion de caisse" sheetId="1" r:id="rId1"/>
    <sheet name="BDArticles" sheetId="2" r:id="rId2"/>
    <sheet name="Ventes" sheetId="3" r:id="rId3"/>
  </sheets>
  <definedNames>
    <definedName name="Narticle">OFFSET(BDArticles!$A$2,1,,COUNTA(BDArticles!$A$3:$A$9999)-1,1)</definedName>
    <definedName name="NomArticle">OFFSET(BDArticles!$B$2,1,,COUNTA(BDArticles!$B$3:$B$9999)-1,1)</definedName>
    <definedName name="Nreçu">OFFSET(Ventes!$A$2,1,,COUNTA(Ventes!$A$2:$A$9998)-1,1)</definedName>
    <definedName name="pieddereçu2">'Gestion de caisse'!$E$24:$F$28</definedName>
    <definedName name="_xlnm.Print_Area" localSheetId="0">'Gestion de caisse'!$C$1:$F$24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  <c r="D11" i="1"/>
  <c r="AB7" i="1"/>
  <c r="AB5" i="1"/>
  <c r="A13" i="1"/>
  <c r="I18" i="1" l="1"/>
  <c r="I22" i="1" l="1"/>
  <c r="K8" i="1" s="1"/>
  <c r="AB6" i="1" l="1"/>
  <c r="I28" i="1"/>
  <c r="AB8" i="1" s="1"/>
</calcChain>
</file>

<file path=xl/sharedStrings.xml><?xml version="1.0" encoding="utf-8"?>
<sst xmlns="http://schemas.openxmlformats.org/spreadsheetml/2006/main" count="83" uniqueCount="43">
  <si>
    <t>ARTICLES</t>
  </si>
  <si>
    <t>N° ARTICLE</t>
  </si>
  <si>
    <t>NOM ARTICLE</t>
  </si>
  <si>
    <t>Prix</t>
  </si>
  <si>
    <t>PRIX</t>
  </si>
  <si>
    <t>Savon</t>
  </si>
  <si>
    <t>Dentifrice</t>
  </si>
  <si>
    <t>Savon liquide</t>
  </si>
  <si>
    <t>Après shampooing</t>
  </si>
  <si>
    <t>Déodorant</t>
  </si>
  <si>
    <t>Shampooing</t>
  </si>
  <si>
    <t>Démaquillant</t>
  </si>
  <si>
    <t>Gel douche</t>
  </si>
  <si>
    <t>Date</t>
  </si>
  <si>
    <t>Caissier</t>
  </si>
  <si>
    <t>Article</t>
  </si>
  <si>
    <t>Qté</t>
  </si>
  <si>
    <t>Total</t>
  </si>
  <si>
    <t>N° de reçu</t>
  </si>
  <si>
    <t>Historique ds ventes</t>
  </si>
  <si>
    <t>Gestion de caisse</t>
  </si>
  <si>
    <t>Article:</t>
  </si>
  <si>
    <t>Prix:</t>
  </si>
  <si>
    <t>Quantité:</t>
  </si>
  <si>
    <t>Total:</t>
  </si>
  <si>
    <t>Remise:</t>
  </si>
  <si>
    <t>Net à payer:</t>
  </si>
  <si>
    <t>Versement:</t>
  </si>
  <si>
    <t>Rendu:</t>
  </si>
  <si>
    <t>Ligne article</t>
  </si>
  <si>
    <t>Ligne ticket</t>
  </si>
  <si>
    <t>N° reçu suivant</t>
  </si>
  <si>
    <t>LIBELLE</t>
  </si>
  <si>
    <t>QTE</t>
  </si>
  <si>
    <t>P.U</t>
  </si>
  <si>
    <t>TOTAL</t>
  </si>
  <si>
    <t>Ticket:</t>
  </si>
  <si>
    <t>Caissier:</t>
  </si>
  <si>
    <t>Date:</t>
  </si>
  <si>
    <t xml:space="preserve"> </t>
  </si>
  <si>
    <t>Admin</t>
  </si>
  <si>
    <t>Type de paiement:</t>
  </si>
  <si>
    <t>Morryl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</si>
</sst>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&quot;R&quot;* #,##0.00_-;\-&quot;R&quot;* #,##0.00_-;_-&quot;R&quot;* &quot;-&quot;??_-;_-@_-"/>
    <numFmt numFmtId="165" formatCode="_-* #,##0.00_-;\-* #,##0.00_-;_-* &quot;-&quot;??_-;_-@_-"/>
    <numFmt numFmtId="166" formatCode="#,##0\ [$CFA-300C];\-#,##0\ [$CFA-300C]"/>
    <numFmt numFmtId="167" formatCode="#,##0\ [$CFA-300C]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0" fillId="0" borderId="1" xfId="0" applyBorder="1"/>
    <xf numFmtId="0" fontId="0" fillId="2" borderId="1" xfId="0" applyFill="1" applyBorder="1"/>
    <xf numFmtId="165" fontId="0" fillId="0" borderId="1" xfId="1" applyNumberFormat="1" applyFont="1" applyBorder="1"/>
    <xf numFmtId="0" fontId="0" fillId="4" borderId="0" xfId="0" applyFill="1"/>
    <xf numFmtId="0" fontId="0" fillId="6" borderId="0" xfId="0" applyFill="1"/>
    <xf numFmtId="0" fontId="0" fillId="4" borderId="0" xfId="0" applyFont="1" applyFill="1" applyAlignment="1">
      <alignment horizontal="center" vertical="center"/>
    </xf>
    <xf numFmtId="0" fontId="0" fillId="4" borderId="0" xfId="0" applyFont="1" applyFill="1"/>
    <xf numFmtId="0" fontId="0" fillId="7" borderId="0" xfId="0" applyFill="1"/>
    <xf numFmtId="0" fontId="2" fillId="7" borderId="0" xfId="0" applyFont="1" applyFill="1" applyAlignment="1">
      <alignment horizontal="right"/>
    </xf>
    <xf numFmtId="0" fontId="2" fillId="7" borderId="0" xfId="0" applyFont="1" applyFill="1"/>
    <xf numFmtId="0" fontId="0" fillId="4" borderId="0" xfId="0" applyFont="1" applyFill="1" applyAlignment="1">
      <alignment horizontal="right" vertical="center"/>
    </xf>
    <xf numFmtId="0" fontId="0" fillId="4" borderId="8" xfId="0" applyFont="1" applyFill="1" applyBorder="1" applyAlignment="1">
      <alignment horizontal="left" vertical="center"/>
    </xf>
    <xf numFmtId="0" fontId="0" fillId="4" borderId="9" xfId="0" applyFont="1" applyFill="1" applyBorder="1" applyAlignment="1">
      <alignment horizontal="left" vertical="center"/>
    </xf>
    <xf numFmtId="0" fontId="0" fillId="4" borderId="10" xfId="0" applyFont="1" applyFill="1" applyBorder="1" applyAlignment="1">
      <alignment horizontal="left" vertical="center"/>
    </xf>
    <xf numFmtId="4" fontId="0" fillId="4" borderId="0" xfId="0" applyNumberFormat="1" applyFont="1" applyFill="1" applyAlignment="1">
      <alignment horizontal="center" vertical="center"/>
    </xf>
    <xf numFmtId="4" fontId="0" fillId="4" borderId="0" xfId="0" applyNumberFormat="1" applyFont="1" applyFill="1"/>
    <xf numFmtId="0" fontId="8" fillId="4" borderId="0" xfId="0" applyFont="1" applyFill="1"/>
    <xf numFmtId="0" fontId="0" fillId="4" borderId="0" xfId="0" applyFill="1" applyAlignment="1">
      <alignment horizontal="center" vertical="center"/>
    </xf>
    <xf numFmtId="4" fontId="0" fillId="4" borderId="0" xfId="0" applyNumberFormat="1" applyFill="1" applyAlignment="1">
      <alignment horizontal="center" vertical="center"/>
    </xf>
    <xf numFmtId="0" fontId="0" fillId="8" borderId="0" xfId="0" applyFill="1"/>
    <xf numFmtId="22" fontId="0" fillId="0" borderId="0" xfId="0" applyNumberFormat="1"/>
    <xf numFmtId="3" fontId="0" fillId="4" borderId="0" xfId="0" applyNumberFormat="1" applyFill="1"/>
    <xf numFmtId="167" fontId="0" fillId="4" borderId="0" xfId="0" applyNumberFormat="1" applyFill="1"/>
    <xf numFmtId="0" fontId="3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6" fontId="6" fillId="5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3" fontId="7" fillId="4" borderId="0" xfId="0" applyNumberFormat="1" applyFont="1" applyFill="1" applyAlignment="1">
      <alignment horizontal="center" vertic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1" fontId="0" fillId="4" borderId="5" xfId="0" applyNumberFormat="1" applyFont="1" applyFill="1" applyBorder="1" applyAlignment="1">
      <alignment horizontal="center"/>
    </xf>
    <xf numFmtId="1" fontId="0" fillId="4" borderId="6" xfId="0" applyNumberFormat="1" applyFont="1" applyFill="1" applyBorder="1" applyAlignment="1">
      <alignment horizontal="center"/>
    </xf>
    <xf numFmtId="1" fontId="0" fillId="4" borderId="7" xfId="0" applyNumberFormat="1" applyFont="1" applyFill="1" applyBorder="1" applyAlignment="1">
      <alignment horizontal="center"/>
    </xf>
    <xf numFmtId="22" fontId="0" fillId="4" borderId="0" xfId="0" applyNumberFormat="1" applyFont="1" applyFill="1" applyAlignment="1">
      <alignment horizontal="left" vertical="center"/>
    </xf>
    <xf numFmtId="0" fontId="0" fillId="4" borderId="0" xfId="0" applyFont="1" applyFill="1" applyAlignment="1">
      <alignment horizontal="left" vertical="center"/>
    </xf>
    <xf numFmtId="0" fontId="0" fillId="4" borderId="3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8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2" tint="-0.74901577806939912"/>
          </stop>
          <stop position="0.5">
            <color theme="4" tint="0.80001220740379042"/>
          </stop>
          <stop position="1">
            <color theme="2" tint="-0.74901577806939912"/>
          </stop>
        </gradientFill>
      </fill>
    </dxf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2" tint="-0.74901577806939912"/>
          </stop>
          <stop position="0.5">
            <color theme="0" tint="-0.25098422193060094"/>
          </stop>
          <stop position="1">
            <color theme="2" tint="-0.74901577806939912"/>
          </stop>
        </gradient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496957</xdr:colOff>
      <xdr:row>16</xdr:row>
      <xdr:rowOff>99390</xdr:rowOff>
    </xdr:from>
    <xdr:to>
      <xdr:col>10</xdr:col>
      <xdr:colOff>349826</xdr:colOff>
      <xdr:row>20</xdr:row>
      <xdr:rowOff>5268</xdr:rowOff>
    </xdr:to>
    <xdr:sp macro="[0]!BoutonNum" textlink="">
      <xdr:nvSpPr>
        <xdr:cNvPr id="3" name="Bouton1"/>
        <xdr:cNvSpPr/>
      </xdr:nvSpPr>
      <xdr:spPr>
        <a:xfrm>
          <a:off x="8871337" y="3025470"/>
          <a:ext cx="645349" cy="637398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1</a:t>
          </a:r>
          <a:endParaRPr lang="fr-FR" sz="1100" b="1"/>
        </a:p>
      </xdr:txBody>
    </xdr:sp>
    <xdr:clientData/>
  </xdr:twoCellAnchor>
  <xdr:twoCellAnchor editAs="oneCell">
    <xdr:from>
      <xdr:col>10</xdr:col>
      <xdr:colOff>467142</xdr:colOff>
      <xdr:row>16</xdr:row>
      <xdr:rowOff>99390</xdr:rowOff>
    </xdr:from>
    <xdr:to>
      <xdr:col>11</xdr:col>
      <xdr:colOff>320012</xdr:colOff>
      <xdr:row>20</xdr:row>
      <xdr:rowOff>5268</xdr:rowOff>
    </xdr:to>
    <xdr:sp macro="[0]!BoutonNum" textlink="">
      <xdr:nvSpPr>
        <xdr:cNvPr id="4" name="Bouton2"/>
        <xdr:cNvSpPr/>
      </xdr:nvSpPr>
      <xdr:spPr>
        <a:xfrm>
          <a:off x="9634002" y="3025470"/>
          <a:ext cx="645350" cy="637398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2</a:t>
          </a:r>
          <a:endParaRPr lang="fr-FR" sz="1100" b="1"/>
        </a:p>
      </xdr:txBody>
    </xdr:sp>
    <xdr:clientData/>
  </xdr:twoCellAnchor>
  <xdr:twoCellAnchor editAs="oneCell">
    <xdr:from>
      <xdr:col>11</xdr:col>
      <xdr:colOff>437328</xdr:colOff>
      <xdr:row>16</xdr:row>
      <xdr:rowOff>99390</xdr:rowOff>
    </xdr:from>
    <xdr:to>
      <xdr:col>12</xdr:col>
      <xdr:colOff>290198</xdr:colOff>
      <xdr:row>20</xdr:row>
      <xdr:rowOff>5268</xdr:rowOff>
    </xdr:to>
    <xdr:sp macro="[0]!BoutonNum" textlink="">
      <xdr:nvSpPr>
        <xdr:cNvPr id="5" name="Bouton3"/>
        <xdr:cNvSpPr/>
      </xdr:nvSpPr>
      <xdr:spPr>
        <a:xfrm>
          <a:off x="10396668" y="3025470"/>
          <a:ext cx="645350" cy="637398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3</a:t>
          </a:r>
          <a:endParaRPr lang="fr-FR" sz="1100" b="1"/>
        </a:p>
      </xdr:txBody>
    </xdr:sp>
    <xdr:clientData/>
  </xdr:twoCellAnchor>
  <xdr:twoCellAnchor editAs="oneCell">
    <xdr:from>
      <xdr:col>9</xdr:col>
      <xdr:colOff>496957</xdr:colOff>
      <xdr:row>20</xdr:row>
      <xdr:rowOff>119271</xdr:rowOff>
    </xdr:from>
    <xdr:to>
      <xdr:col>10</xdr:col>
      <xdr:colOff>349826</xdr:colOff>
      <xdr:row>24</xdr:row>
      <xdr:rowOff>25150</xdr:rowOff>
    </xdr:to>
    <xdr:sp macro="[0]!BoutonNum" textlink="">
      <xdr:nvSpPr>
        <xdr:cNvPr id="6" name="Bouton4"/>
        <xdr:cNvSpPr/>
      </xdr:nvSpPr>
      <xdr:spPr>
        <a:xfrm>
          <a:off x="8871337" y="3776871"/>
          <a:ext cx="645349" cy="637399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4</a:t>
          </a:r>
          <a:endParaRPr lang="fr-FR" sz="1100" b="1"/>
        </a:p>
      </xdr:txBody>
    </xdr:sp>
    <xdr:clientData/>
  </xdr:twoCellAnchor>
  <xdr:twoCellAnchor editAs="oneCell">
    <xdr:from>
      <xdr:col>10</xdr:col>
      <xdr:colOff>467142</xdr:colOff>
      <xdr:row>20</xdr:row>
      <xdr:rowOff>119271</xdr:rowOff>
    </xdr:from>
    <xdr:to>
      <xdr:col>11</xdr:col>
      <xdr:colOff>320012</xdr:colOff>
      <xdr:row>24</xdr:row>
      <xdr:rowOff>25150</xdr:rowOff>
    </xdr:to>
    <xdr:sp macro="[0]!BoutonNum" textlink="">
      <xdr:nvSpPr>
        <xdr:cNvPr id="7" name="Bouton5"/>
        <xdr:cNvSpPr/>
      </xdr:nvSpPr>
      <xdr:spPr>
        <a:xfrm>
          <a:off x="9634002" y="3776871"/>
          <a:ext cx="645350" cy="637399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5</a:t>
          </a:r>
          <a:endParaRPr lang="fr-FR" sz="1100" b="1"/>
        </a:p>
      </xdr:txBody>
    </xdr:sp>
    <xdr:clientData/>
  </xdr:twoCellAnchor>
  <xdr:twoCellAnchor editAs="oneCell">
    <xdr:from>
      <xdr:col>11</xdr:col>
      <xdr:colOff>437328</xdr:colOff>
      <xdr:row>20</xdr:row>
      <xdr:rowOff>92767</xdr:rowOff>
    </xdr:from>
    <xdr:to>
      <xdr:col>12</xdr:col>
      <xdr:colOff>290198</xdr:colOff>
      <xdr:row>24</xdr:row>
      <xdr:rowOff>1296</xdr:rowOff>
    </xdr:to>
    <xdr:sp macro="[0]!BoutonNum" textlink="">
      <xdr:nvSpPr>
        <xdr:cNvPr id="8" name="Bouton6"/>
        <xdr:cNvSpPr/>
      </xdr:nvSpPr>
      <xdr:spPr>
        <a:xfrm>
          <a:off x="10396668" y="3750367"/>
          <a:ext cx="645350" cy="640049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6</a:t>
          </a:r>
          <a:endParaRPr lang="fr-FR" sz="1100" b="1"/>
        </a:p>
      </xdr:txBody>
    </xdr:sp>
    <xdr:clientData/>
  </xdr:twoCellAnchor>
  <xdr:twoCellAnchor editAs="oneCell">
    <xdr:from>
      <xdr:col>9</xdr:col>
      <xdr:colOff>496957</xdr:colOff>
      <xdr:row>24</xdr:row>
      <xdr:rowOff>139153</xdr:rowOff>
    </xdr:from>
    <xdr:to>
      <xdr:col>10</xdr:col>
      <xdr:colOff>349826</xdr:colOff>
      <xdr:row>28</xdr:row>
      <xdr:rowOff>45031</xdr:rowOff>
    </xdr:to>
    <xdr:sp macro="[0]!BoutonNum" textlink="">
      <xdr:nvSpPr>
        <xdr:cNvPr id="9" name="Bouton7"/>
        <xdr:cNvSpPr/>
      </xdr:nvSpPr>
      <xdr:spPr>
        <a:xfrm>
          <a:off x="8871337" y="4528273"/>
          <a:ext cx="645349" cy="637398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7</a:t>
          </a:r>
          <a:endParaRPr lang="fr-FR" sz="1100" b="1"/>
        </a:p>
      </xdr:txBody>
    </xdr:sp>
    <xdr:clientData/>
  </xdr:twoCellAnchor>
  <xdr:twoCellAnchor editAs="oneCell">
    <xdr:from>
      <xdr:col>10</xdr:col>
      <xdr:colOff>467142</xdr:colOff>
      <xdr:row>24</xdr:row>
      <xdr:rowOff>139153</xdr:rowOff>
    </xdr:from>
    <xdr:to>
      <xdr:col>11</xdr:col>
      <xdr:colOff>320012</xdr:colOff>
      <xdr:row>28</xdr:row>
      <xdr:rowOff>45031</xdr:rowOff>
    </xdr:to>
    <xdr:sp macro="[0]!BoutonNum" textlink="">
      <xdr:nvSpPr>
        <xdr:cNvPr id="10" name="Bouton8"/>
        <xdr:cNvSpPr/>
      </xdr:nvSpPr>
      <xdr:spPr>
        <a:xfrm>
          <a:off x="8895525" y="4591883"/>
          <a:ext cx="648000" cy="6480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8</a:t>
          </a:r>
          <a:endParaRPr lang="fr-FR" sz="1100" b="1"/>
        </a:p>
      </xdr:txBody>
    </xdr:sp>
    <xdr:clientData/>
  </xdr:twoCellAnchor>
  <xdr:twoCellAnchor editAs="oneCell">
    <xdr:from>
      <xdr:col>11</xdr:col>
      <xdr:colOff>437328</xdr:colOff>
      <xdr:row>24</xdr:row>
      <xdr:rowOff>119276</xdr:rowOff>
    </xdr:from>
    <xdr:to>
      <xdr:col>12</xdr:col>
      <xdr:colOff>290198</xdr:colOff>
      <xdr:row>28</xdr:row>
      <xdr:rowOff>25154</xdr:rowOff>
    </xdr:to>
    <xdr:sp macro="[0]!BoutonNum" textlink="">
      <xdr:nvSpPr>
        <xdr:cNvPr id="11" name="Bouton9"/>
        <xdr:cNvSpPr/>
      </xdr:nvSpPr>
      <xdr:spPr>
        <a:xfrm>
          <a:off x="9660841" y="4572006"/>
          <a:ext cx="648000" cy="6480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9</a:t>
          </a:r>
          <a:endParaRPr lang="fr-FR" sz="1100" b="1"/>
        </a:p>
      </xdr:txBody>
    </xdr:sp>
    <xdr:clientData/>
  </xdr:twoCellAnchor>
  <xdr:twoCellAnchor editAs="oneCell">
    <xdr:from>
      <xdr:col>10</xdr:col>
      <xdr:colOff>467142</xdr:colOff>
      <xdr:row>28</xdr:row>
      <xdr:rowOff>159034</xdr:rowOff>
    </xdr:from>
    <xdr:to>
      <xdr:col>11</xdr:col>
      <xdr:colOff>320012</xdr:colOff>
      <xdr:row>32</xdr:row>
      <xdr:rowOff>64912</xdr:rowOff>
    </xdr:to>
    <xdr:sp macro="[0]!BoutonVirgule" textlink="">
      <xdr:nvSpPr>
        <xdr:cNvPr id="12" name="BoutonVirgule"/>
        <xdr:cNvSpPr/>
      </xdr:nvSpPr>
      <xdr:spPr>
        <a:xfrm>
          <a:off x="9557802" y="5279674"/>
          <a:ext cx="645350" cy="637398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,</a:t>
          </a:r>
          <a:endParaRPr lang="fr-FR" sz="1100" b="1"/>
        </a:p>
      </xdr:txBody>
    </xdr:sp>
    <xdr:clientData/>
  </xdr:twoCellAnchor>
  <xdr:twoCellAnchor editAs="oneCell">
    <xdr:from>
      <xdr:col>9</xdr:col>
      <xdr:colOff>496957</xdr:colOff>
      <xdr:row>28</xdr:row>
      <xdr:rowOff>159034</xdr:rowOff>
    </xdr:from>
    <xdr:to>
      <xdr:col>10</xdr:col>
      <xdr:colOff>349826</xdr:colOff>
      <xdr:row>32</xdr:row>
      <xdr:rowOff>64912</xdr:rowOff>
    </xdr:to>
    <xdr:sp macro="[0]!BoutonNum" textlink="">
      <xdr:nvSpPr>
        <xdr:cNvPr id="14" name="Bouton0"/>
        <xdr:cNvSpPr/>
      </xdr:nvSpPr>
      <xdr:spPr>
        <a:xfrm>
          <a:off x="8795137" y="5279674"/>
          <a:ext cx="645349" cy="637398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/>
            <a:t>0</a:t>
          </a:r>
          <a:endParaRPr lang="fr-FR" sz="1100" b="1"/>
        </a:p>
      </xdr:txBody>
    </xdr:sp>
    <xdr:clientData/>
  </xdr:twoCellAnchor>
  <xdr:twoCellAnchor editAs="oneCell">
    <xdr:from>
      <xdr:col>11</xdr:col>
      <xdr:colOff>437328</xdr:colOff>
      <xdr:row>28</xdr:row>
      <xdr:rowOff>159034</xdr:rowOff>
    </xdr:from>
    <xdr:to>
      <xdr:col>12</xdr:col>
      <xdr:colOff>290198</xdr:colOff>
      <xdr:row>32</xdr:row>
      <xdr:rowOff>64912</xdr:rowOff>
    </xdr:to>
    <xdr:grpSp>
      <xdr:nvGrpSpPr>
        <xdr:cNvPr id="20" name="BoutonEffacer"/>
        <xdr:cNvGrpSpPr/>
      </xdr:nvGrpSpPr>
      <xdr:grpSpPr>
        <a:xfrm>
          <a:off x="10495728" y="5251734"/>
          <a:ext cx="659320" cy="642478"/>
          <a:chOff x="9660841" y="5353886"/>
          <a:chExt cx="648000" cy="648000"/>
        </a:xfrm>
      </xdr:grpSpPr>
      <xdr:sp macro="[0]!BoutonEffacer" textlink="">
        <xdr:nvSpPr>
          <xdr:cNvPr id="13" name="Rectangle à coins arrondis 12"/>
          <xdr:cNvSpPr/>
        </xdr:nvSpPr>
        <xdr:spPr>
          <a:xfrm>
            <a:off x="9660841" y="5353886"/>
            <a:ext cx="648000" cy="648000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1100" b="1"/>
          </a:p>
        </xdr:txBody>
      </xdr:sp>
      <xdr:sp macro="[0]!BoutonEffacer" textlink="">
        <xdr:nvSpPr>
          <xdr:cNvPr id="18" name="Flèche gauche 17"/>
          <xdr:cNvSpPr/>
        </xdr:nvSpPr>
        <xdr:spPr>
          <a:xfrm>
            <a:off x="9773476" y="5546034"/>
            <a:ext cx="384313" cy="291548"/>
          </a:xfrm>
          <a:prstGeom prst="left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15</xdr:col>
      <xdr:colOff>331310</xdr:colOff>
      <xdr:row>16</xdr:row>
      <xdr:rowOff>66259</xdr:rowOff>
    </xdr:from>
    <xdr:to>
      <xdr:col>16</xdr:col>
      <xdr:colOff>184180</xdr:colOff>
      <xdr:row>19</xdr:row>
      <xdr:rowOff>157668</xdr:rowOff>
    </xdr:to>
    <xdr:grpSp>
      <xdr:nvGrpSpPr>
        <xdr:cNvPr id="33" name="btncarte"/>
        <xdr:cNvGrpSpPr/>
      </xdr:nvGrpSpPr>
      <xdr:grpSpPr>
        <a:xfrm>
          <a:off x="13615510" y="2961859"/>
          <a:ext cx="659320" cy="631159"/>
          <a:chOff x="13460570" y="2992339"/>
          <a:chExt cx="645350" cy="640049"/>
        </a:xfrm>
      </xdr:grpSpPr>
      <xdr:sp macro="[0]!Typedepaiement" textlink="">
        <xdr:nvSpPr>
          <xdr:cNvPr id="23" name="Bouton3"/>
          <xdr:cNvSpPr/>
        </xdr:nvSpPr>
        <xdr:spPr>
          <a:xfrm>
            <a:off x="13460570" y="2992339"/>
            <a:ext cx="645350" cy="640049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1000" b="1"/>
          </a:p>
        </xdr:txBody>
      </xdr:sp>
      <xdr:pic macro="[0]!Typedepaiement">
        <xdr:nvPicPr>
          <xdr:cNvPr id="2" name="Carte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25855" y="3061042"/>
            <a:ext cx="518651" cy="512738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390938</xdr:colOff>
      <xdr:row>28</xdr:row>
      <xdr:rowOff>159034</xdr:rowOff>
    </xdr:from>
    <xdr:to>
      <xdr:col>16</xdr:col>
      <xdr:colOff>212034</xdr:colOff>
      <xdr:row>32</xdr:row>
      <xdr:rowOff>64912</xdr:rowOff>
    </xdr:to>
    <xdr:grpSp>
      <xdr:nvGrpSpPr>
        <xdr:cNvPr id="36" name="btnsuivant"/>
        <xdr:cNvGrpSpPr/>
      </xdr:nvGrpSpPr>
      <xdr:grpSpPr>
        <a:xfrm>
          <a:off x="12062238" y="5251734"/>
          <a:ext cx="2240446" cy="642478"/>
          <a:chOff x="11935238" y="5239911"/>
          <a:chExt cx="2198536" cy="637398"/>
        </a:xfrm>
      </xdr:grpSpPr>
      <xdr:sp macro="[0]!Suivant" textlink="">
        <xdr:nvSpPr>
          <xdr:cNvPr id="26" name="Bouton6"/>
          <xdr:cNvSpPr/>
        </xdr:nvSpPr>
        <xdr:spPr>
          <a:xfrm>
            <a:off x="11935238" y="5239911"/>
            <a:ext cx="2198536" cy="637398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2800" b="1"/>
              <a:t>Suivant</a:t>
            </a:r>
            <a:endParaRPr lang="fr-FR" sz="2000" b="1"/>
          </a:p>
        </xdr:txBody>
      </xdr:sp>
      <xdr:pic macro="[0]!Suivant">
        <xdr:nvPicPr>
          <xdr:cNvPr id="15" name="Image 1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45471" y="5299315"/>
            <a:ext cx="574657" cy="562171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361125</xdr:colOff>
      <xdr:row>16</xdr:row>
      <xdr:rowOff>66259</xdr:rowOff>
    </xdr:from>
    <xdr:to>
      <xdr:col>15</xdr:col>
      <xdr:colOff>213994</xdr:colOff>
      <xdr:row>19</xdr:row>
      <xdr:rowOff>157668</xdr:rowOff>
    </xdr:to>
    <xdr:grpSp>
      <xdr:nvGrpSpPr>
        <xdr:cNvPr id="32" name="btnchèque"/>
        <xdr:cNvGrpSpPr/>
      </xdr:nvGrpSpPr>
      <xdr:grpSpPr>
        <a:xfrm>
          <a:off x="12838875" y="2961859"/>
          <a:ext cx="659319" cy="631159"/>
          <a:chOff x="12697905" y="2992339"/>
          <a:chExt cx="645349" cy="640049"/>
        </a:xfrm>
      </xdr:grpSpPr>
      <xdr:sp macro="[0]!Typedepaiement" textlink="">
        <xdr:nvSpPr>
          <xdr:cNvPr id="22" name="Bouton2"/>
          <xdr:cNvSpPr/>
        </xdr:nvSpPr>
        <xdr:spPr>
          <a:xfrm>
            <a:off x="12697905" y="2992339"/>
            <a:ext cx="645349" cy="640049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1000" b="1"/>
          </a:p>
        </xdr:txBody>
      </xdr:sp>
      <xdr:pic macro="[0]!Typedepaiement">
        <xdr:nvPicPr>
          <xdr:cNvPr id="16" name="Chèque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761090" y="3020439"/>
            <a:ext cx="524322" cy="515241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390939</xdr:colOff>
      <xdr:row>16</xdr:row>
      <xdr:rowOff>66259</xdr:rowOff>
    </xdr:from>
    <xdr:to>
      <xdr:col>14</xdr:col>
      <xdr:colOff>243809</xdr:colOff>
      <xdr:row>19</xdr:row>
      <xdr:rowOff>157668</xdr:rowOff>
    </xdr:to>
    <xdr:grpSp>
      <xdr:nvGrpSpPr>
        <xdr:cNvPr id="31" name="btnespèce"/>
        <xdr:cNvGrpSpPr/>
      </xdr:nvGrpSpPr>
      <xdr:grpSpPr>
        <a:xfrm>
          <a:off x="12062239" y="2961859"/>
          <a:ext cx="659320" cy="631159"/>
          <a:chOff x="11935239" y="2992339"/>
          <a:chExt cx="645350" cy="640049"/>
        </a:xfrm>
      </xdr:grpSpPr>
      <xdr:sp macro="[0]!Typedepaiement" textlink="">
        <xdr:nvSpPr>
          <xdr:cNvPr id="21" name="Bouton1"/>
          <xdr:cNvSpPr/>
        </xdr:nvSpPr>
        <xdr:spPr>
          <a:xfrm>
            <a:off x="11935239" y="2992339"/>
            <a:ext cx="645350" cy="640049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 b="1"/>
          </a:p>
        </xdr:txBody>
      </xdr:sp>
      <xdr:pic macro="[0]!Typedepaiement">
        <xdr:nvPicPr>
          <xdr:cNvPr id="17" name="Espèces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91578" y="3146032"/>
            <a:ext cx="543482" cy="366787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390938</xdr:colOff>
      <xdr:row>24</xdr:row>
      <xdr:rowOff>127227</xdr:rowOff>
    </xdr:from>
    <xdr:to>
      <xdr:col>16</xdr:col>
      <xdr:colOff>212034</xdr:colOff>
      <xdr:row>28</xdr:row>
      <xdr:rowOff>35755</xdr:rowOff>
    </xdr:to>
    <xdr:grpSp>
      <xdr:nvGrpSpPr>
        <xdr:cNvPr id="35" name="btnimprimer"/>
        <xdr:cNvGrpSpPr/>
      </xdr:nvGrpSpPr>
      <xdr:grpSpPr>
        <a:xfrm>
          <a:off x="12062238" y="4483327"/>
          <a:ext cx="2240446" cy="645128"/>
          <a:chOff x="11935238" y="4455382"/>
          <a:chExt cx="2198536" cy="640048"/>
        </a:xfrm>
      </xdr:grpSpPr>
      <xdr:sp macro="[0]!Imprimer" textlink="">
        <xdr:nvSpPr>
          <xdr:cNvPr id="25" name="Bouton6"/>
          <xdr:cNvSpPr/>
        </xdr:nvSpPr>
        <xdr:spPr>
          <a:xfrm>
            <a:off x="11935238" y="4455382"/>
            <a:ext cx="2198536" cy="640048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r"/>
            <a:r>
              <a:rPr lang="fr-FR" sz="2800" b="1"/>
              <a:t>Imprimer</a:t>
            </a:r>
            <a:endParaRPr lang="fr-FR" sz="2000" b="1"/>
          </a:p>
        </xdr:txBody>
      </xdr:sp>
      <xdr:pic macro="[0]!Imprimer">
        <xdr:nvPicPr>
          <xdr:cNvPr id="19" name="Image 18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87913" y="4558271"/>
            <a:ext cx="435489" cy="430377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390938</xdr:colOff>
      <xdr:row>20</xdr:row>
      <xdr:rowOff>98068</xdr:rowOff>
    </xdr:from>
    <xdr:to>
      <xdr:col>16</xdr:col>
      <xdr:colOff>212034</xdr:colOff>
      <xdr:row>24</xdr:row>
      <xdr:rowOff>3947</xdr:rowOff>
    </xdr:to>
    <xdr:grpSp>
      <xdr:nvGrpSpPr>
        <xdr:cNvPr id="34" name="btnpaiement"/>
        <xdr:cNvGrpSpPr/>
      </xdr:nvGrpSpPr>
      <xdr:grpSpPr>
        <a:xfrm>
          <a:off x="12062238" y="3717568"/>
          <a:ext cx="2240446" cy="642479"/>
          <a:chOff x="11935238" y="3790123"/>
          <a:chExt cx="2198536" cy="637399"/>
        </a:xfrm>
      </xdr:grpSpPr>
      <xdr:sp macro="[0]!Paiement" textlink="">
        <xdr:nvSpPr>
          <xdr:cNvPr id="24" name="Bouton6"/>
          <xdr:cNvSpPr/>
        </xdr:nvSpPr>
        <xdr:spPr>
          <a:xfrm>
            <a:off x="11935238" y="3790123"/>
            <a:ext cx="2198536" cy="637399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fr-FR" sz="2800" b="1"/>
              <a:t>Paiement</a:t>
            </a:r>
            <a:endParaRPr lang="fr-FR" sz="2000" b="1"/>
          </a:p>
        </xdr:txBody>
      </xdr:sp>
      <xdr:pic>
        <xdr:nvPicPr>
          <xdr:cNvPr id="28" name="Image 2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94267" y="3880236"/>
            <a:ext cx="425866" cy="42321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106060</xdr:colOff>
      <xdr:row>12</xdr:row>
      <xdr:rowOff>181010</xdr:rowOff>
    </xdr:from>
    <xdr:to>
      <xdr:col>10</xdr:col>
      <xdr:colOff>740980</xdr:colOff>
      <xdr:row>15</xdr:row>
      <xdr:rowOff>17050</xdr:rowOff>
    </xdr:to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1591" y="2388182"/>
          <a:ext cx="634920" cy="387834"/>
        </a:xfrm>
        <a:prstGeom prst="rect">
          <a:avLst/>
        </a:prstGeom>
      </xdr:spPr>
    </xdr:pic>
    <xdr:clientData/>
  </xdr:twoCellAnchor>
  <xdr:oneCellAnchor>
    <xdr:from>
      <xdr:col>2</xdr:col>
      <xdr:colOff>523523</xdr:colOff>
      <xdr:row>0</xdr:row>
      <xdr:rowOff>148405</xdr:rowOff>
    </xdr:from>
    <xdr:ext cx="2852137" cy="666935"/>
    <xdr:sp macro="" textlink="">
      <xdr:nvSpPr>
        <xdr:cNvPr id="37" name="Rectangle 36"/>
        <xdr:cNvSpPr/>
      </xdr:nvSpPr>
      <xdr:spPr>
        <a:xfrm>
          <a:off x="2230403" y="148405"/>
          <a:ext cx="2852137" cy="66693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fr-F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Golden</a:t>
          </a:r>
          <a:r>
            <a:rPr lang="fr-FR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Corporation</a:t>
          </a:r>
          <a:endParaRPr lang="fr-F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2</xdr:col>
      <xdr:colOff>0</xdr:colOff>
      <xdr:row>19</xdr:row>
      <xdr:rowOff>0</xdr:rowOff>
    </xdr:from>
    <xdr:to>
      <xdr:col>6</xdr:col>
      <xdr:colOff>0</xdr:colOff>
      <xdr:row>28</xdr:row>
      <xdr:rowOff>45720</xdr:rowOff>
    </xdr:to>
    <xdr:grpSp>
      <xdr:nvGrpSpPr>
        <xdr:cNvPr id="29" name="pieddereçu"/>
        <xdr:cNvGrpSpPr/>
      </xdr:nvGrpSpPr>
      <xdr:grpSpPr>
        <a:xfrm>
          <a:off x="1739900" y="3435350"/>
          <a:ext cx="3797300" cy="1703070"/>
          <a:chOff x="1699260" y="5250180"/>
          <a:chExt cx="3733800" cy="1691640"/>
        </a:xfrm>
      </xdr:grpSpPr>
      <xdr:sp macro="" textlink="">
        <xdr:nvSpPr>
          <xdr:cNvPr id="38" name="ZoneTexte 37"/>
          <xdr:cNvSpPr txBox="1"/>
        </xdr:nvSpPr>
        <xdr:spPr>
          <a:xfrm>
            <a:off x="1706880" y="5250180"/>
            <a:ext cx="3726180" cy="93726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200" b="1"/>
              <a:t>Merci à bientôt !</a:t>
            </a:r>
          </a:p>
        </xdr:txBody>
      </xdr:sp>
      <xdr:sp macro="" textlink="$D$9">
        <xdr:nvSpPr>
          <xdr:cNvPr id="39" name="ZoneTexte 38"/>
          <xdr:cNvSpPr txBox="1"/>
        </xdr:nvSpPr>
        <xdr:spPr>
          <a:xfrm>
            <a:off x="1699260" y="6195060"/>
            <a:ext cx="3733800" cy="74676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11FDBA6-3719-475B-94A9-FE23CB424D33}" type="TxLink">
              <a:rPr lang="en-US" sz="6000" b="0" i="0" u="none" strike="noStrike">
                <a:solidFill>
                  <a:srgbClr val="000000"/>
                </a:solidFill>
                <a:latin typeface="Code 128" panose="05000000000000000000" pitchFamily="2" charset="2"/>
                <a:ea typeface="Calibri"/>
                <a:cs typeface="Calibri"/>
              </a:rPr>
              <a:pPr algn="ctr"/>
              <a:t>100063</a:t>
            </a:fld>
            <a:endParaRPr lang="fr-FR" sz="6000">
              <a:latin typeface="Code 128" panose="05000000000000000000" pitchFamily="2" charset="2"/>
            </a:endParaRPr>
          </a:p>
        </xdr:txBody>
      </xdr:sp>
    </xdr:grpSp>
    <xdr:clientData/>
  </xdr:twoCellAnchor>
  <xdr:twoCellAnchor editAs="oneCell">
    <xdr:from>
      <xdr:col>6</xdr:col>
      <xdr:colOff>297180</xdr:colOff>
      <xdr:row>2</xdr:row>
      <xdr:rowOff>15240</xdr:rowOff>
    </xdr:from>
    <xdr:to>
      <xdr:col>7</xdr:col>
      <xdr:colOff>144780</xdr:colOff>
      <xdr:row>5</xdr:row>
      <xdr:rowOff>106680</xdr:rowOff>
    </xdr:to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7860" y="381000"/>
          <a:ext cx="640080" cy="640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B120"/>
  <sheetViews>
    <sheetView tabSelected="1" zoomScaleNormal="100" workbookViewId="0">
      <selection activeCell="L14" sqref="L14:O15"/>
    </sheetView>
  </sheetViews>
  <sheetFormatPr baseColWidth="10" defaultColWidth="11.54296875" defaultRowHeight="14.5" x14ac:dyDescent="0.35"/>
  <cols>
    <col min="1" max="1" width="13.36328125" style="1" bestFit="1" customWidth="1"/>
    <col min="2" max="2" width="11.54296875" style="21"/>
    <col min="3" max="3" width="24.54296875" style="5" customWidth="1"/>
    <col min="4" max="4" width="7.6328125" style="5" customWidth="1"/>
    <col min="5" max="5" width="10.6328125" style="5" customWidth="1"/>
    <col min="6" max="6" width="11.54296875" style="5"/>
    <col min="7" max="8" width="11.54296875" style="9"/>
    <col min="9" max="9" width="18.54296875" style="9" customWidth="1"/>
    <col min="10" max="16384" width="11.54296875" style="9"/>
  </cols>
  <sheetData>
    <row r="1" spans="1:28" x14ac:dyDescent="0.35">
      <c r="B1" s="21" t="s">
        <v>39</v>
      </c>
      <c r="C1" s="28"/>
      <c r="D1" s="28"/>
      <c r="E1" s="28"/>
      <c r="F1" s="28"/>
    </row>
    <row r="2" spans="1:28" x14ac:dyDescent="0.35">
      <c r="C2" s="28"/>
      <c r="D2" s="28"/>
      <c r="E2" s="28"/>
      <c r="F2" s="28"/>
      <c r="H2" s="25" t="s">
        <v>20</v>
      </c>
      <c r="I2" s="26"/>
      <c r="J2" s="26"/>
      <c r="K2" s="26"/>
      <c r="L2" s="26"/>
      <c r="M2" s="26"/>
    </row>
    <row r="3" spans="1:28" x14ac:dyDescent="0.35">
      <c r="C3" s="28"/>
      <c r="D3" s="28"/>
      <c r="E3" s="28"/>
      <c r="F3" s="28"/>
      <c r="H3" s="26"/>
      <c r="I3" s="26"/>
      <c r="J3" s="26"/>
      <c r="K3" s="26"/>
      <c r="L3" s="26"/>
      <c r="M3" s="26"/>
    </row>
    <row r="4" spans="1:28" x14ac:dyDescent="0.35">
      <c r="C4" s="28"/>
      <c r="D4" s="28"/>
      <c r="E4" s="28"/>
      <c r="F4" s="28"/>
      <c r="H4" s="26"/>
      <c r="I4" s="26"/>
      <c r="J4" s="26"/>
      <c r="K4" s="26"/>
      <c r="L4" s="26"/>
      <c r="M4" s="26"/>
      <c r="AA4" s="8" t="s">
        <v>24</v>
      </c>
      <c r="AB4" s="17"/>
    </row>
    <row r="5" spans="1:28" x14ac:dyDescent="0.35">
      <c r="C5" s="8"/>
      <c r="D5" s="8"/>
      <c r="E5" s="8"/>
      <c r="F5" s="8"/>
      <c r="H5" s="26"/>
      <c r="I5" s="26"/>
      <c r="J5" s="26"/>
      <c r="K5" s="26"/>
      <c r="L5" s="26"/>
      <c r="M5" s="26"/>
      <c r="AA5" s="8" t="s">
        <v>25</v>
      </c>
      <c r="AB5" s="17">
        <f>I20</f>
        <v>0</v>
      </c>
    </row>
    <row r="6" spans="1:28" x14ac:dyDescent="0.35">
      <c r="A6" s="6" t="s">
        <v>29</v>
      </c>
      <c r="C6" s="8"/>
      <c r="D6" s="8"/>
      <c r="E6" s="8"/>
      <c r="F6" s="8"/>
      <c r="H6" s="26"/>
      <c r="I6" s="26"/>
      <c r="J6" s="26"/>
      <c r="K6" s="26"/>
      <c r="L6" s="26"/>
      <c r="M6" s="26"/>
      <c r="AA6" s="8" t="s">
        <v>26</v>
      </c>
      <c r="AB6" s="17">
        <f>I22</f>
        <v>0</v>
      </c>
    </row>
    <row r="7" spans="1:28" x14ac:dyDescent="0.35">
      <c r="A7" s="6" t="str">
        <f ca="1">IFERROR(MATCH(L14,Narticle)+2,"")</f>
        <v/>
      </c>
      <c r="C7" s="30" t="s">
        <v>42</v>
      </c>
      <c r="D7" s="31"/>
      <c r="E7" s="31"/>
      <c r="F7" s="32"/>
      <c r="H7" s="26"/>
      <c r="I7" s="26"/>
      <c r="J7" s="26"/>
      <c r="K7" s="26"/>
      <c r="L7" s="26"/>
      <c r="M7" s="26"/>
      <c r="AA7" s="8" t="s">
        <v>27</v>
      </c>
      <c r="AB7" s="17">
        <f>I26</f>
        <v>0</v>
      </c>
    </row>
    <row r="8" spans="1:28" x14ac:dyDescent="0.35">
      <c r="C8" s="33">
        <v>694081653</v>
      </c>
      <c r="D8" s="34"/>
      <c r="E8" s="34"/>
      <c r="F8" s="35"/>
      <c r="K8" s="27">
        <f>I22</f>
        <v>0</v>
      </c>
      <c r="L8" s="27"/>
      <c r="M8" s="27"/>
      <c r="N8" s="27"/>
      <c r="O8" s="27"/>
      <c r="P8" s="27"/>
      <c r="AA8" s="8" t="s">
        <v>28</v>
      </c>
      <c r="AB8" s="17">
        <f>I28</f>
        <v>0</v>
      </c>
    </row>
    <row r="9" spans="1:28" ht="14.4" customHeight="1" x14ac:dyDescent="0.35">
      <c r="A9" s="6" t="s">
        <v>30</v>
      </c>
      <c r="C9" s="12" t="s">
        <v>36</v>
      </c>
      <c r="D9" s="38">
        <v>100063</v>
      </c>
      <c r="E9" s="38"/>
      <c r="F9" s="38"/>
      <c r="K9" s="27"/>
      <c r="L9" s="27"/>
      <c r="M9" s="27"/>
      <c r="N9" s="27"/>
      <c r="O9" s="27"/>
      <c r="P9" s="27"/>
    </row>
    <row r="10" spans="1:28" ht="14.4" customHeight="1" x14ac:dyDescent="0.35">
      <c r="A10" s="6"/>
      <c r="C10" s="12" t="s">
        <v>37</v>
      </c>
      <c r="D10" s="37" t="s">
        <v>40</v>
      </c>
      <c r="E10" s="37"/>
      <c r="F10" s="37"/>
      <c r="K10" s="27"/>
      <c r="L10" s="27"/>
      <c r="M10" s="27"/>
      <c r="N10" s="27"/>
      <c r="O10" s="27"/>
      <c r="P10" s="27"/>
    </row>
    <row r="11" spans="1:28" ht="14.4" customHeight="1" x14ac:dyDescent="0.35">
      <c r="C11" s="12" t="s">
        <v>38</v>
      </c>
      <c r="D11" s="36">
        <f ca="1">NOW()</f>
        <v>45324.725729050922</v>
      </c>
      <c r="E11" s="36"/>
      <c r="F11" s="36"/>
      <c r="H11" s="10" t="s">
        <v>21</v>
      </c>
      <c r="I11" s="18"/>
      <c r="K11" s="27"/>
      <c r="L11" s="27"/>
      <c r="M11" s="27"/>
      <c r="N11" s="27"/>
      <c r="O11" s="27"/>
      <c r="P11" s="27"/>
    </row>
    <row r="12" spans="1:28" ht="14.4" customHeight="1" x14ac:dyDescent="0.35">
      <c r="A12" s="6" t="s">
        <v>31</v>
      </c>
      <c r="C12" s="7"/>
      <c r="D12" s="7"/>
      <c r="E12" s="7"/>
      <c r="F12" s="7"/>
      <c r="H12" s="10"/>
      <c r="I12" s="11"/>
      <c r="K12" s="27"/>
      <c r="L12" s="27"/>
      <c r="M12" s="27"/>
      <c r="N12" s="27"/>
      <c r="O12" s="27"/>
      <c r="P12" s="27"/>
    </row>
    <row r="13" spans="1:28" ht="14.4" customHeight="1" x14ac:dyDescent="0.35">
      <c r="A13" s="6">
        <f ca="1">IFERROR(MAX(Nreçu)+1,1000)</f>
        <v>100063</v>
      </c>
      <c r="C13" s="13" t="s">
        <v>32</v>
      </c>
      <c r="D13" s="14" t="s">
        <v>33</v>
      </c>
      <c r="E13" s="14" t="s">
        <v>34</v>
      </c>
      <c r="F13" s="15" t="s">
        <v>35</v>
      </c>
      <c r="H13" s="10" t="s">
        <v>22</v>
      </c>
      <c r="I13" s="24"/>
    </row>
    <row r="14" spans="1:28" ht="14.4" customHeight="1" x14ac:dyDescent="0.35">
      <c r="C14" s="7"/>
      <c r="D14" s="7"/>
      <c r="E14" s="7" t="s">
        <v>24</v>
      </c>
      <c r="F14" s="16"/>
      <c r="H14" s="10"/>
      <c r="L14" s="29"/>
      <c r="M14" s="29"/>
      <c r="N14" s="29"/>
      <c r="O14" s="29"/>
    </row>
    <row r="15" spans="1:28" ht="14.4" customHeight="1" x14ac:dyDescent="0.35">
      <c r="C15" s="7"/>
      <c r="D15" s="7"/>
      <c r="E15" s="7" t="s">
        <v>25</v>
      </c>
      <c r="F15" s="16">
        <v>0</v>
      </c>
      <c r="H15" s="10" t="s">
        <v>23</v>
      </c>
      <c r="I15" s="5"/>
      <c r="L15" s="29"/>
      <c r="M15" s="29"/>
      <c r="N15" s="29"/>
      <c r="O15" s="29"/>
    </row>
    <row r="16" spans="1:28" ht="14.4" customHeight="1" x14ac:dyDescent="0.35">
      <c r="C16" s="7"/>
      <c r="D16" s="7"/>
      <c r="E16" s="7" t="s">
        <v>26</v>
      </c>
      <c r="F16" s="16">
        <v>0</v>
      </c>
      <c r="H16" s="10"/>
    </row>
    <row r="17" spans="3:9" ht="14.4" customHeight="1" x14ac:dyDescent="0.35">
      <c r="C17" s="7"/>
      <c r="D17" s="7"/>
      <c r="E17" s="7" t="s">
        <v>27</v>
      </c>
      <c r="F17" s="16">
        <v>0</v>
      </c>
      <c r="H17" s="10"/>
    </row>
    <row r="18" spans="3:9" ht="14.4" customHeight="1" x14ac:dyDescent="0.35">
      <c r="C18" s="7"/>
      <c r="D18" s="7"/>
      <c r="E18" s="7" t="s">
        <v>28</v>
      </c>
      <c r="F18" s="16">
        <v>0</v>
      </c>
      <c r="H18" s="10" t="s">
        <v>24</v>
      </c>
      <c r="I18" s="23">
        <f>SUMIF(C14:C120,"&lt;&gt;",F14:F120)</f>
        <v>0</v>
      </c>
    </row>
    <row r="19" spans="3:9" x14ac:dyDescent="0.35">
      <c r="C19" s="7"/>
      <c r="D19" s="7"/>
      <c r="E19" s="7"/>
      <c r="F19" s="16"/>
      <c r="H19" s="10"/>
    </row>
    <row r="20" spans="3:9" x14ac:dyDescent="0.35">
      <c r="C20" s="7"/>
      <c r="D20" s="7"/>
      <c r="E20" s="7"/>
      <c r="F20" s="16"/>
      <c r="H20" s="10" t="s">
        <v>25</v>
      </c>
      <c r="I20" s="23"/>
    </row>
    <row r="21" spans="3:9" x14ac:dyDescent="0.35">
      <c r="C21" s="7"/>
      <c r="D21" s="7"/>
      <c r="E21" s="7"/>
      <c r="F21" s="16"/>
      <c r="H21" s="10"/>
    </row>
    <row r="22" spans="3:9" x14ac:dyDescent="0.35">
      <c r="C22" s="7"/>
      <c r="D22" s="7"/>
      <c r="E22" s="7"/>
      <c r="F22" s="16"/>
      <c r="H22" s="10" t="s">
        <v>26</v>
      </c>
      <c r="I22" s="23">
        <f>I18-I20</f>
        <v>0</v>
      </c>
    </row>
    <row r="23" spans="3:9" x14ac:dyDescent="0.35">
      <c r="C23" s="7"/>
      <c r="D23" s="7"/>
      <c r="E23" s="7"/>
      <c r="F23" s="16"/>
      <c r="H23" s="10"/>
    </row>
    <row r="24" spans="3:9" x14ac:dyDescent="0.35">
      <c r="C24" s="7"/>
      <c r="D24" s="7"/>
      <c r="E24" s="7"/>
      <c r="F24" s="16"/>
      <c r="H24" s="10" t="s">
        <v>41</v>
      </c>
      <c r="I24" s="5"/>
    </row>
    <row r="25" spans="3:9" x14ac:dyDescent="0.35">
      <c r="C25" s="7"/>
      <c r="D25" s="7"/>
      <c r="E25" s="7"/>
      <c r="F25" s="16"/>
    </row>
    <row r="26" spans="3:9" x14ac:dyDescent="0.35">
      <c r="C26" s="7"/>
      <c r="D26" s="7"/>
      <c r="E26" s="7"/>
      <c r="F26" s="16"/>
      <c r="H26" s="10" t="s">
        <v>27</v>
      </c>
      <c r="I26" s="23"/>
    </row>
    <row r="27" spans="3:9" x14ac:dyDescent="0.35">
      <c r="C27" s="7"/>
      <c r="D27" s="7"/>
      <c r="E27" s="7"/>
      <c r="F27" s="16"/>
      <c r="H27" s="10"/>
    </row>
    <row r="28" spans="3:9" x14ac:dyDescent="0.35">
      <c r="C28" s="7"/>
      <c r="D28" s="7"/>
      <c r="E28" s="7"/>
      <c r="F28" s="16"/>
      <c r="H28" s="10" t="s">
        <v>28</v>
      </c>
      <c r="I28" s="23">
        <f>I26-I22</f>
        <v>0</v>
      </c>
    </row>
    <row r="29" spans="3:9" x14ac:dyDescent="0.35">
      <c r="C29" s="7"/>
      <c r="D29" s="7"/>
      <c r="E29" s="7"/>
      <c r="F29" s="16"/>
    </row>
    <row r="30" spans="3:9" x14ac:dyDescent="0.35">
      <c r="C30" s="19"/>
      <c r="D30" s="19"/>
      <c r="E30" s="19"/>
      <c r="F30" s="20"/>
    </row>
    <row r="31" spans="3:9" x14ac:dyDescent="0.35">
      <c r="C31" s="19"/>
      <c r="D31" s="19"/>
      <c r="E31" s="19"/>
      <c r="F31" s="20"/>
    </row>
    <row r="32" spans="3:9" x14ac:dyDescent="0.35">
      <c r="C32" s="19"/>
      <c r="D32" s="19"/>
      <c r="E32" s="19"/>
      <c r="F32" s="20"/>
    </row>
    <row r="33" spans="3:6" x14ac:dyDescent="0.35">
      <c r="C33" s="19"/>
      <c r="D33" s="19"/>
      <c r="E33" s="19"/>
      <c r="F33" s="20"/>
    </row>
    <row r="34" spans="3:6" x14ac:dyDescent="0.35">
      <c r="C34" s="19"/>
      <c r="D34" s="19"/>
      <c r="E34" s="19"/>
      <c r="F34" s="20"/>
    </row>
    <row r="35" spans="3:6" x14ac:dyDescent="0.35">
      <c r="C35" s="19"/>
      <c r="D35" s="19"/>
      <c r="E35" s="19"/>
      <c r="F35" s="20"/>
    </row>
    <row r="36" spans="3:6" x14ac:dyDescent="0.35">
      <c r="C36" s="19"/>
      <c r="D36" s="19"/>
      <c r="E36" s="19"/>
      <c r="F36" s="20"/>
    </row>
    <row r="37" spans="3:6" x14ac:dyDescent="0.35">
      <c r="C37" s="19"/>
      <c r="D37" s="19"/>
      <c r="E37" s="19"/>
      <c r="F37" s="20"/>
    </row>
    <row r="38" spans="3:6" x14ac:dyDescent="0.35">
      <c r="C38" s="19"/>
      <c r="D38" s="19"/>
      <c r="E38" s="19"/>
      <c r="F38" s="20"/>
    </row>
    <row r="39" spans="3:6" x14ac:dyDescent="0.35">
      <c r="C39" s="19"/>
      <c r="D39" s="19"/>
      <c r="E39" s="19"/>
      <c r="F39" s="20"/>
    </row>
    <row r="40" spans="3:6" x14ac:dyDescent="0.35">
      <c r="C40" s="19"/>
      <c r="D40" s="19"/>
      <c r="E40" s="19"/>
      <c r="F40" s="20"/>
    </row>
    <row r="41" spans="3:6" x14ac:dyDescent="0.35">
      <c r="C41" s="19"/>
      <c r="D41" s="19"/>
      <c r="E41" s="19"/>
      <c r="F41" s="20"/>
    </row>
    <row r="42" spans="3:6" x14ac:dyDescent="0.35">
      <c r="C42" s="19"/>
      <c r="D42" s="19"/>
      <c r="E42" s="19"/>
      <c r="F42" s="20"/>
    </row>
    <row r="43" spans="3:6" x14ac:dyDescent="0.35">
      <c r="C43" s="19"/>
      <c r="D43" s="19"/>
      <c r="E43" s="19"/>
      <c r="F43" s="20"/>
    </row>
    <row r="44" spans="3:6" x14ac:dyDescent="0.35">
      <c r="C44" s="19"/>
      <c r="D44" s="19"/>
      <c r="E44" s="19"/>
      <c r="F44" s="20"/>
    </row>
    <row r="45" spans="3:6" x14ac:dyDescent="0.35">
      <c r="C45" s="19"/>
      <c r="D45" s="19"/>
      <c r="E45" s="19"/>
      <c r="F45" s="20"/>
    </row>
    <row r="46" spans="3:6" x14ac:dyDescent="0.35">
      <c r="C46" s="19"/>
      <c r="D46" s="19"/>
      <c r="E46" s="19"/>
      <c r="F46" s="20"/>
    </row>
    <row r="47" spans="3:6" x14ac:dyDescent="0.35">
      <c r="C47" s="19"/>
      <c r="D47" s="19"/>
      <c r="E47" s="19"/>
      <c r="F47" s="20"/>
    </row>
    <row r="48" spans="3:6" x14ac:dyDescent="0.35">
      <c r="C48" s="19"/>
      <c r="D48" s="19"/>
      <c r="E48" s="19"/>
      <c r="F48" s="20"/>
    </row>
    <row r="49" spans="3:6" x14ac:dyDescent="0.35">
      <c r="C49" s="19"/>
      <c r="D49" s="19"/>
      <c r="E49" s="19"/>
      <c r="F49" s="20"/>
    </row>
    <row r="50" spans="3:6" x14ac:dyDescent="0.35">
      <c r="C50" s="19"/>
      <c r="D50" s="19"/>
      <c r="E50" s="19"/>
      <c r="F50" s="20"/>
    </row>
    <row r="51" spans="3:6" x14ac:dyDescent="0.35">
      <c r="C51" s="19"/>
      <c r="D51" s="19"/>
      <c r="E51" s="19"/>
      <c r="F51" s="20"/>
    </row>
    <row r="52" spans="3:6" x14ac:dyDescent="0.35">
      <c r="C52" s="19"/>
      <c r="D52" s="19"/>
      <c r="E52" s="19"/>
      <c r="F52" s="20"/>
    </row>
    <row r="53" spans="3:6" x14ac:dyDescent="0.35">
      <c r="C53" s="19"/>
      <c r="D53" s="19"/>
      <c r="E53" s="19"/>
      <c r="F53" s="20"/>
    </row>
    <row r="54" spans="3:6" x14ac:dyDescent="0.35">
      <c r="C54" s="19"/>
      <c r="D54" s="19"/>
      <c r="E54" s="19"/>
      <c r="F54" s="20"/>
    </row>
    <row r="55" spans="3:6" x14ac:dyDescent="0.35">
      <c r="C55" s="19"/>
      <c r="D55" s="19"/>
      <c r="E55" s="19"/>
      <c r="F55" s="20"/>
    </row>
    <row r="56" spans="3:6" x14ac:dyDescent="0.35">
      <c r="C56" s="19"/>
      <c r="D56" s="19"/>
      <c r="E56" s="19"/>
      <c r="F56" s="20"/>
    </row>
    <row r="57" spans="3:6" x14ac:dyDescent="0.35">
      <c r="C57" s="19"/>
      <c r="D57" s="19"/>
      <c r="E57" s="19"/>
      <c r="F57" s="20"/>
    </row>
    <row r="58" spans="3:6" x14ac:dyDescent="0.35">
      <c r="C58" s="19"/>
      <c r="D58" s="19"/>
      <c r="E58" s="19"/>
      <c r="F58" s="20"/>
    </row>
    <row r="59" spans="3:6" x14ac:dyDescent="0.35">
      <c r="C59" s="19"/>
      <c r="D59" s="19"/>
      <c r="E59" s="19"/>
      <c r="F59" s="20"/>
    </row>
    <row r="60" spans="3:6" x14ac:dyDescent="0.35">
      <c r="C60" s="19"/>
      <c r="D60" s="19"/>
      <c r="E60" s="19"/>
      <c r="F60" s="20"/>
    </row>
    <row r="61" spans="3:6" x14ac:dyDescent="0.35">
      <c r="C61" s="19"/>
      <c r="D61" s="19"/>
      <c r="E61" s="19"/>
      <c r="F61" s="20"/>
    </row>
    <row r="62" spans="3:6" x14ac:dyDescent="0.35">
      <c r="C62" s="19"/>
      <c r="D62" s="19"/>
      <c r="E62" s="19"/>
      <c r="F62" s="20"/>
    </row>
    <row r="63" spans="3:6" x14ac:dyDescent="0.35">
      <c r="C63" s="19"/>
      <c r="D63" s="19"/>
      <c r="E63" s="19"/>
      <c r="F63" s="20"/>
    </row>
    <row r="64" spans="3:6" x14ac:dyDescent="0.35">
      <c r="C64" s="19"/>
      <c r="D64" s="19"/>
      <c r="E64" s="19"/>
      <c r="F64" s="20"/>
    </row>
    <row r="65" spans="3:6" x14ac:dyDescent="0.35">
      <c r="C65" s="19"/>
      <c r="D65" s="19"/>
      <c r="E65" s="19"/>
      <c r="F65" s="20"/>
    </row>
    <row r="66" spans="3:6" x14ac:dyDescent="0.35">
      <c r="C66" s="19"/>
      <c r="D66" s="19"/>
      <c r="E66" s="19"/>
      <c r="F66" s="20"/>
    </row>
    <row r="67" spans="3:6" x14ac:dyDescent="0.35">
      <c r="C67" s="19"/>
      <c r="D67" s="19"/>
      <c r="E67" s="19"/>
      <c r="F67" s="20"/>
    </row>
    <row r="68" spans="3:6" x14ac:dyDescent="0.35">
      <c r="C68" s="19"/>
      <c r="D68" s="19"/>
      <c r="E68" s="19"/>
      <c r="F68" s="20"/>
    </row>
    <row r="69" spans="3:6" x14ac:dyDescent="0.35">
      <c r="C69" s="19"/>
      <c r="D69" s="19"/>
      <c r="E69" s="19"/>
      <c r="F69" s="20"/>
    </row>
    <row r="70" spans="3:6" x14ac:dyDescent="0.35">
      <c r="C70" s="19"/>
      <c r="D70" s="19"/>
      <c r="E70" s="19"/>
      <c r="F70" s="20"/>
    </row>
    <row r="71" spans="3:6" x14ac:dyDescent="0.35">
      <c r="C71" s="19"/>
      <c r="D71" s="19"/>
      <c r="E71" s="19"/>
      <c r="F71" s="20"/>
    </row>
    <row r="72" spans="3:6" x14ac:dyDescent="0.35">
      <c r="C72" s="19"/>
      <c r="D72" s="19"/>
      <c r="E72" s="19"/>
      <c r="F72" s="20"/>
    </row>
    <row r="73" spans="3:6" x14ac:dyDescent="0.35">
      <c r="C73" s="19"/>
      <c r="D73" s="19"/>
      <c r="E73" s="19"/>
      <c r="F73" s="20"/>
    </row>
    <row r="74" spans="3:6" x14ac:dyDescent="0.35">
      <c r="C74" s="19"/>
      <c r="D74" s="19"/>
      <c r="E74" s="19"/>
      <c r="F74" s="20"/>
    </row>
    <row r="75" spans="3:6" x14ac:dyDescent="0.35">
      <c r="C75" s="19"/>
      <c r="D75" s="19"/>
      <c r="E75" s="19"/>
      <c r="F75" s="20"/>
    </row>
    <row r="76" spans="3:6" x14ac:dyDescent="0.35">
      <c r="C76" s="19"/>
      <c r="D76" s="19"/>
      <c r="E76" s="19"/>
      <c r="F76" s="20"/>
    </row>
    <row r="77" spans="3:6" x14ac:dyDescent="0.35">
      <c r="C77" s="19"/>
      <c r="D77" s="19"/>
      <c r="E77" s="19"/>
      <c r="F77" s="20"/>
    </row>
    <row r="78" spans="3:6" x14ac:dyDescent="0.35">
      <c r="C78" s="19"/>
      <c r="D78" s="19"/>
      <c r="E78" s="19"/>
      <c r="F78" s="20"/>
    </row>
    <row r="79" spans="3:6" x14ac:dyDescent="0.35">
      <c r="C79" s="19"/>
      <c r="D79" s="19"/>
      <c r="E79" s="19"/>
      <c r="F79" s="20"/>
    </row>
    <row r="80" spans="3:6" x14ac:dyDescent="0.35">
      <c r="C80" s="19"/>
      <c r="D80" s="19"/>
      <c r="E80" s="19"/>
      <c r="F80" s="20"/>
    </row>
    <row r="81" spans="3:6" x14ac:dyDescent="0.35">
      <c r="C81" s="19"/>
      <c r="D81" s="19"/>
      <c r="E81" s="19"/>
      <c r="F81" s="20"/>
    </row>
    <row r="82" spans="3:6" x14ac:dyDescent="0.35">
      <c r="C82" s="19"/>
      <c r="D82" s="19"/>
      <c r="E82" s="19"/>
      <c r="F82" s="20"/>
    </row>
    <row r="83" spans="3:6" x14ac:dyDescent="0.35">
      <c r="C83" s="19"/>
      <c r="D83" s="19"/>
      <c r="E83" s="19"/>
      <c r="F83" s="20"/>
    </row>
    <row r="84" spans="3:6" x14ac:dyDescent="0.35">
      <c r="C84" s="19"/>
      <c r="D84" s="19"/>
      <c r="E84" s="19"/>
      <c r="F84" s="20"/>
    </row>
    <row r="85" spans="3:6" x14ac:dyDescent="0.35">
      <c r="C85" s="19"/>
      <c r="D85" s="19"/>
      <c r="E85" s="19"/>
      <c r="F85" s="20"/>
    </row>
    <row r="86" spans="3:6" x14ac:dyDescent="0.35">
      <c r="C86" s="19"/>
      <c r="D86" s="19"/>
      <c r="E86" s="19"/>
      <c r="F86" s="20"/>
    </row>
    <row r="87" spans="3:6" x14ac:dyDescent="0.35">
      <c r="C87" s="19"/>
      <c r="D87" s="19"/>
      <c r="E87" s="19"/>
      <c r="F87" s="20"/>
    </row>
    <row r="88" spans="3:6" x14ac:dyDescent="0.35">
      <c r="C88" s="19"/>
      <c r="D88" s="19"/>
      <c r="E88" s="19"/>
      <c r="F88" s="20"/>
    </row>
    <row r="89" spans="3:6" x14ac:dyDescent="0.35">
      <c r="C89" s="19"/>
      <c r="D89" s="19"/>
      <c r="E89" s="19"/>
      <c r="F89" s="20"/>
    </row>
    <row r="90" spans="3:6" x14ac:dyDescent="0.35">
      <c r="C90" s="19"/>
      <c r="D90" s="19"/>
      <c r="E90" s="19"/>
      <c r="F90" s="20"/>
    </row>
    <row r="91" spans="3:6" x14ac:dyDescent="0.35">
      <c r="C91" s="19"/>
      <c r="D91" s="19"/>
      <c r="E91" s="19"/>
      <c r="F91" s="20"/>
    </row>
    <row r="92" spans="3:6" x14ac:dyDescent="0.35">
      <c r="C92" s="19"/>
      <c r="D92" s="19"/>
      <c r="E92" s="19"/>
      <c r="F92" s="20"/>
    </row>
    <row r="93" spans="3:6" x14ac:dyDescent="0.35">
      <c r="C93" s="19"/>
      <c r="D93" s="19"/>
      <c r="E93" s="19"/>
      <c r="F93" s="20"/>
    </row>
    <row r="94" spans="3:6" x14ac:dyDescent="0.35">
      <c r="C94" s="19"/>
      <c r="D94" s="19"/>
      <c r="E94" s="19"/>
      <c r="F94" s="20"/>
    </row>
    <row r="95" spans="3:6" x14ac:dyDescent="0.35">
      <c r="C95" s="19"/>
      <c r="D95" s="19"/>
      <c r="E95" s="19"/>
      <c r="F95" s="20"/>
    </row>
    <row r="96" spans="3:6" x14ac:dyDescent="0.35">
      <c r="C96" s="19"/>
      <c r="D96" s="19"/>
      <c r="E96" s="19"/>
      <c r="F96" s="20"/>
    </row>
    <row r="97" spans="3:6" x14ac:dyDescent="0.35">
      <c r="C97" s="19"/>
      <c r="D97" s="19"/>
      <c r="E97" s="19"/>
      <c r="F97" s="20"/>
    </row>
    <row r="98" spans="3:6" x14ac:dyDescent="0.35">
      <c r="C98" s="19"/>
      <c r="D98" s="19"/>
      <c r="E98" s="19"/>
      <c r="F98" s="20"/>
    </row>
    <row r="99" spans="3:6" x14ac:dyDescent="0.35">
      <c r="C99" s="19"/>
      <c r="D99" s="19"/>
      <c r="E99" s="19"/>
      <c r="F99" s="20"/>
    </row>
    <row r="100" spans="3:6" x14ac:dyDescent="0.35">
      <c r="C100" s="19"/>
      <c r="D100" s="19"/>
      <c r="E100" s="19"/>
      <c r="F100" s="20"/>
    </row>
    <row r="101" spans="3:6" x14ac:dyDescent="0.35">
      <c r="C101" s="19"/>
      <c r="D101" s="19"/>
      <c r="E101" s="19"/>
      <c r="F101" s="20"/>
    </row>
    <row r="102" spans="3:6" x14ac:dyDescent="0.35">
      <c r="C102" s="19"/>
      <c r="D102" s="19"/>
      <c r="E102" s="19"/>
      <c r="F102" s="20"/>
    </row>
    <row r="103" spans="3:6" x14ac:dyDescent="0.35">
      <c r="C103" s="19"/>
      <c r="D103" s="19"/>
      <c r="E103" s="19"/>
      <c r="F103" s="20"/>
    </row>
    <row r="104" spans="3:6" x14ac:dyDescent="0.35">
      <c r="C104" s="19"/>
      <c r="D104" s="19"/>
      <c r="E104" s="19"/>
      <c r="F104" s="20"/>
    </row>
    <row r="105" spans="3:6" x14ac:dyDescent="0.35">
      <c r="C105" s="19"/>
      <c r="D105" s="19"/>
      <c r="E105" s="19"/>
      <c r="F105" s="20"/>
    </row>
    <row r="106" spans="3:6" x14ac:dyDescent="0.35">
      <c r="C106" s="19"/>
      <c r="D106" s="19"/>
      <c r="E106" s="19"/>
      <c r="F106" s="20"/>
    </row>
    <row r="107" spans="3:6" x14ac:dyDescent="0.35">
      <c r="C107" s="19"/>
      <c r="D107" s="19"/>
      <c r="E107" s="19"/>
      <c r="F107" s="20"/>
    </row>
    <row r="108" spans="3:6" x14ac:dyDescent="0.35">
      <c r="C108" s="19"/>
      <c r="D108" s="19"/>
      <c r="E108" s="19"/>
      <c r="F108" s="20"/>
    </row>
    <row r="109" spans="3:6" x14ac:dyDescent="0.35">
      <c r="C109" s="19"/>
      <c r="D109" s="19"/>
      <c r="E109" s="19"/>
      <c r="F109" s="20"/>
    </row>
    <row r="110" spans="3:6" x14ac:dyDescent="0.35">
      <c r="C110" s="19"/>
      <c r="D110" s="19"/>
      <c r="E110" s="19"/>
      <c r="F110" s="20"/>
    </row>
    <row r="111" spans="3:6" x14ac:dyDescent="0.35">
      <c r="C111" s="19"/>
      <c r="D111" s="19"/>
      <c r="E111" s="19"/>
      <c r="F111" s="20"/>
    </row>
    <row r="112" spans="3:6" x14ac:dyDescent="0.35">
      <c r="C112" s="19"/>
      <c r="D112" s="19"/>
      <c r="E112" s="19"/>
      <c r="F112" s="20"/>
    </row>
    <row r="113" spans="3:6" x14ac:dyDescent="0.35">
      <c r="C113" s="19"/>
      <c r="D113" s="19"/>
      <c r="E113" s="19"/>
      <c r="F113" s="20"/>
    </row>
    <row r="114" spans="3:6" x14ac:dyDescent="0.35">
      <c r="C114" s="19"/>
      <c r="D114" s="19"/>
      <c r="E114" s="19"/>
      <c r="F114" s="20"/>
    </row>
    <row r="115" spans="3:6" x14ac:dyDescent="0.35">
      <c r="C115" s="19"/>
      <c r="D115" s="19"/>
      <c r="E115" s="19"/>
      <c r="F115" s="20"/>
    </row>
    <row r="116" spans="3:6" x14ac:dyDescent="0.35">
      <c r="C116" s="19"/>
      <c r="D116" s="19"/>
      <c r="E116" s="19"/>
      <c r="F116" s="20"/>
    </row>
    <row r="117" spans="3:6" x14ac:dyDescent="0.35">
      <c r="C117" s="19"/>
      <c r="D117" s="19"/>
      <c r="E117" s="19"/>
      <c r="F117" s="20"/>
    </row>
    <row r="118" spans="3:6" x14ac:dyDescent="0.35">
      <c r="C118" s="19"/>
      <c r="D118" s="19"/>
      <c r="E118" s="19"/>
      <c r="F118" s="20"/>
    </row>
    <row r="119" spans="3:6" x14ac:dyDescent="0.35">
      <c r="C119" s="19"/>
      <c r="D119" s="19"/>
      <c r="E119" s="19"/>
      <c r="F119" s="20"/>
    </row>
    <row r="120" spans="3:6" x14ac:dyDescent="0.35">
      <c r="C120" s="19"/>
      <c r="D120" s="19"/>
      <c r="E120" s="19"/>
      <c r="F120" s="20"/>
    </row>
  </sheetData>
  <mergeCells count="9">
    <mergeCell ref="H2:M7"/>
    <mergeCell ref="K8:P12"/>
    <mergeCell ref="C1:F4"/>
    <mergeCell ref="L14:O15"/>
    <mergeCell ref="C7:F7"/>
    <mergeCell ref="C8:F8"/>
    <mergeCell ref="D11:F11"/>
    <mergeCell ref="D10:F10"/>
    <mergeCell ref="D9:F9"/>
  </mergeCells>
  <conditionalFormatting sqref="C14:F120">
    <cfRule type="expression" dxfId="7" priority="5">
      <formula>$A$10=ROW()</formula>
    </cfRule>
    <cfRule type="expression" dxfId="6" priority="6">
      <formula>$E14="Rendu:"</formula>
    </cfRule>
    <cfRule type="expression" dxfId="5" priority="7">
      <formula>$E14="Net à payer:"</formula>
    </cfRule>
    <cfRule type="expression" dxfId="4" priority="8">
      <formula>$E14="total:"</formula>
    </cfRule>
  </conditionalFormatting>
  <conditionalFormatting sqref="AA4:AB8">
    <cfRule type="expression" dxfId="3" priority="1">
      <formula>$A$10=ROW()</formula>
    </cfRule>
    <cfRule type="expression" dxfId="2" priority="2">
      <formula>$E4="Rendu:"</formula>
    </cfRule>
    <cfRule type="expression" dxfId="1" priority="3">
      <formula>$E4="Net à payer:"</formula>
    </cfRule>
    <cfRule type="expression" dxfId="0" priority="4">
      <formula>$E4="total:"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1"/>
  <sheetViews>
    <sheetView workbookViewId="0">
      <selection activeCell="A3" sqref="A3:A10"/>
    </sheetView>
  </sheetViews>
  <sheetFormatPr baseColWidth="10" defaultRowHeight="14.5" x14ac:dyDescent="0.35"/>
  <cols>
    <col min="2" max="2" width="15.90625" bestFit="1" customWidth="1"/>
  </cols>
  <sheetData>
    <row r="1" spans="1:3" ht="15" thickBot="1" x14ac:dyDescent="0.4">
      <c r="A1" s="3"/>
      <c r="B1" s="3" t="s">
        <v>0</v>
      </c>
      <c r="C1" s="3"/>
    </row>
    <row r="2" spans="1:3" ht="15" thickBot="1" x14ac:dyDescent="0.4">
      <c r="A2" s="3" t="s">
        <v>1</v>
      </c>
      <c r="B2" s="3" t="s">
        <v>2</v>
      </c>
      <c r="C2" s="3" t="s">
        <v>4</v>
      </c>
    </row>
    <row r="3" spans="1:3" ht="15" thickBot="1" x14ac:dyDescent="0.4">
      <c r="A3" s="2">
        <v>10001</v>
      </c>
      <c r="B3" s="2" t="s">
        <v>10</v>
      </c>
      <c r="C3" s="4">
        <v>600</v>
      </c>
    </row>
    <row r="4" spans="1:3" ht="15" thickBot="1" x14ac:dyDescent="0.4">
      <c r="A4" s="2">
        <v>10002</v>
      </c>
      <c r="B4" s="2" t="s">
        <v>5</v>
      </c>
      <c r="C4" s="4">
        <v>200</v>
      </c>
    </row>
    <row r="5" spans="1:3" ht="15" thickBot="1" x14ac:dyDescent="0.4">
      <c r="A5" s="2">
        <v>10003</v>
      </c>
      <c r="B5" s="2" t="s">
        <v>6</v>
      </c>
      <c r="C5" s="4">
        <v>300</v>
      </c>
    </row>
    <row r="6" spans="1:3" ht="15" thickBot="1" x14ac:dyDescent="0.4">
      <c r="A6" s="2">
        <v>10004</v>
      </c>
      <c r="B6" s="2" t="s">
        <v>7</v>
      </c>
      <c r="C6" s="4">
        <v>250</v>
      </c>
    </row>
    <row r="7" spans="1:3" ht="15" thickBot="1" x14ac:dyDescent="0.4">
      <c r="A7" s="2">
        <v>10005</v>
      </c>
      <c r="B7" s="2" t="s">
        <v>8</v>
      </c>
      <c r="C7" s="4">
        <v>750</v>
      </c>
    </row>
    <row r="8" spans="1:3" ht="15" thickBot="1" x14ac:dyDescent="0.4">
      <c r="A8" s="2">
        <v>10006</v>
      </c>
      <c r="B8" s="2" t="s">
        <v>9</v>
      </c>
      <c r="C8" s="4">
        <v>550</v>
      </c>
    </row>
    <row r="9" spans="1:3" ht="15" thickBot="1" x14ac:dyDescent="0.4">
      <c r="A9" s="2">
        <v>10007</v>
      </c>
      <c r="B9" s="2" t="s">
        <v>11</v>
      </c>
      <c r="C9" s="4">
        <v>1500</v>
      </c>
    </row>
    <row r="10" spans="1:3" ht="15" thickBot="1" x14ac:dyDescent="0.4">
      <c r="A10" s="2">
        <v>10008</v>
      </c>
      <c r="B10" s="2" t="s">
        <v>12</v>
      </c>
      <c r="C10" s="4">
        <v>800</v>
      </c>
    </row>
    <row r="11" spans="1:3" ht="15" thickBot="1" x14ac:dyDescent="0.4">
      <c r="A11" s="2"/>
      <c r="B11" s="2"/>
      <c r="C1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G17"/>
  <sheetViews>
    <sheetView workbookViewId="0">
      <selection activeCell="D17" sqref="D17"/>
    </sheetView>
  </sheetViews>
  <sheetFormatPr baseColWidth="10" defaultRowHeight="14.5" x14ac:dyDescent="0.35"/>
  <cols>
    <col min="2" max="2" width="15.36328125" bestFit="1" customWidth="1"/>
  </cols>
  <sheetData>
    <row r="1" spans="1:7" ht="15" thickBot="1" x14ac:dyDescent="0.4">
      <c r="A1" s="39" t="s">
        <v>19</v>
      </c>
      <c r="B1" s="39"/>
      <c r="C1" s="39"/>
      <c r="D1" s="39"/>
      <c r="E1" s="39"/>
      <c r="F1" s="39"/>
      <c r="G1" s="39"/>
    </row>
    <row r="2" spans="1:7" ht="15" thickBot="1" x14ac:dyDescent="0.4">
      <c r="A2" s="3" t="s">
        <v>18</v>
      </c>
      <c r="B2" s="3" t="s">
        <v>13</v>
      </c>
      <c r="C2" s="3" t="s">
        <v>14</v>
      </c>
      <c r="D2" s="3" t="s">
        <v>15</v>
      </c>
      <c r="E2" s="3" t="s">
        <v>16</v>
      </c>
      <c r="F2" s="3" t="s">
        <v>3</v>
      </c>
      <c r="G2" s="3" t="s">
        <v>17</v>
      </c>
    </row>
    <row r="3" spans="1:7" x14ac:dyDescent="0.35">
      <c r="A3">
        <v>100057</v>
      </c>
      <c r="B3" s="22">
        <v>44934.839675925927</v>
      </c>
      <c r="C3" t="s">
        <v>40</v>
      </c>
      <c r="D3" t="s">
        <v>8</v>
      </c>
      <c r="E3">
        <v>1</v>
      </c>
      <c r="F3">
        <v>750</v>
      </c>
      <c r="G3">
        <v>750</v>
      </c>
    </row>
    <row r="4" spans="1:7" x14ac:dyDescent="0.35">
      <c r="A4">
        <v>100057</v>
      </c>
      <c r="B4" s="22">
        <v>44934.839675925927</v>
      </c>
      <c r="C4" t="s">
        <v>40</v>
      </c>
      <c r="D4" t="s">
        <v>11</v>
      </c>
      <c r="E4">
        <v>3</v>
      </c>
      <c r="F4">
        <v>1500</v>
      </c>
      <c r="G4">
        <v>4500</v>
      </c>
    </row>
    <row r="5" spans="1:7" x14ac:dyDescent="0.35">
      <c r="A5">
        <v>100057</v>
      </c>
      <c r="B5" s="22">
        <v>44934.839675925927</v>
      </c>
      <c r="C5" t="s">
        <v>40</v>
      </c>
      <c r="D5" t="s">
        <v>8</v>
      </c>
      <c r="E5">
        <v>1</v>
      </c>
      <c r="F5">
        <v>750</v>
      </c>
      <c r="G5">
        <v>750</v>
      </c>
    </row>
    <row r="6" spans="1:7" x14ac:dyDescent="0.35">
      <c r="A6">
        <v>100057</v>
      </c>
      <c r="B6" s="22">
        <v>44934.839675925927</v>
      </c>
      <c r="C6" t="s">
        <v>40</v>
      </c>
      <c r="D6" t="s">
        <v>11</v>
      </c>
      <c r="E6">
        <v>1</v>
      </c>
      <c r="F6">
        <v>1500</v>
      </c>
      <c r="G6">
        <v>1500</v>
      </c>
    </row>
    <row r="7" spans="1:7" x14ac:dyDescent="0.35">
      <c r="A7">
        <v>100057</v>
      </c>
      <c r="B7" s="22">
        <v>44934.839675925927</v>
      </c>
      <c r="C7" t="s">
        <v>40</v>
      </c>
      <c r="D7" t="s">
        <v>5</v>
      </c>
      <c r="E7">
        <v>1</v>
      </c>
      <c r="F7">
        <v>200</v>
      </c>
      <c r="G7">
        <v>200</v>
      </c>
    </row>
    <row r="8" spans="1:7" x14ac:dyDescent="0.35">
      <c r="A8">
        <v>100057</v>
      </c>
      <c r="B8" s="22">
        <v>44934.839675925927</v>
      </c>
      <c r="C8" t="s">
        <v>40</v>
      </c>
      <c r="D8" t="s">
        <v>6</v>
      </c>
      <c r="E8">
        <v>1</v>
      </c>
      <c r="F8">
        <v>300</v>
      </c>
      <c r="G8">
        <v>300</v>
      </c>
    </row>
    <row r="9" spans="1:7" x14ac:dyDescent="0.35">
      <c r="A9">
        <v>100058</v>
      </c>
      <c r="B9" s="22">
        <v>44934.846689814818</v>
      </c>
      <c r="C9" t="s">
        <v>40</v>
      </c>
      <c r="D9" t="s">
        <v>8</v>
      </c>
      <c r="E9">
        <v>1</v>
      </c>
      <c r="F9">
        <v>750</v>
      </c>
      <c r="G9">
        <v>750</v>
      </c>
    </row>
    <row r="10" spans="1:7" x14ac:dyDescent="0.35">
      <c r="A10">
        <v>100058</v>
      </c>
      <c r="B10" s="22">
        <v>44934.846689814818</v>
      </c>
      <c r="C10" t="s">
        <v>40</v>
      </c>
      <c r="D10" t="s">
        <v>11</v>
      </c>
      <c r="E10">
        <v>5</v>
      </c>
      <c r="F10">
        <v>1500</v>
      </c>
      <c r="G10">
        <v>7500</v>
      </c>
    </row>
    <row r="11" spans="1:7" x14ac:dyDescent="0.35">
      <c r="A11">
        <v>100059</v>
      </c>
      <c r="B11" s="22">
        <v>44935.329282407409</v>
      </c>
      <c r="C11" t="s">
        <v>40</v>
      </c>
      <c r="D11" t="s">
        <v>8</v>
      </c>
      <c r="E11">
        <v>1</v>
      </c>
      <c r="F11">
        <v>750</v>
      </c>
      <c r="G11">
        <v>750</v>
      </c>
    </row>
    <row r="12" spans="1:7" x14ac:dyDescent="0.35">
      <c r="A12">
        <v>100060</v>
      </c>
      <c r="B12" s="22">
        <v>44935.330057870371</v>
      </c>
      <c r="C12" t="s">
        <v>40</v>
      </c>
      <c r="D12" t="s">
        <v>8</v>
      </c>
      <c r="E12">
        <v>1</v>
      </c>
      <c r="F12">
        <v>750</v>
      </c>
      <c r="G12">
        <v>750</v>
      </c>
    </row>
    <row r="13" spans="1:7" x14ac:dyDescent="0.35">
      <c r="A13">
        <v>100060</v>
      </c>
      <c r="B13" s="22">
        <v>44935.330057870371</v>
      </c>
      <c r="C13" t="s">
        <v>40</v>
      </c>
      <c r="D13" t="s">
        <v>11</v>
      </c>
      <c r="E13">
        <v>1</v>
      </c>
      <c r="F13">
        <v>1500</v>
      </c>
      <c r="G13">
        <v>1500</v>
      </c>
    </row>
    <row r="14" spans="1:7" x14ac:dyDescent="0.35">
      <c r="A14">
        <v>100061</v>
      </c>
      <c r="B14" s="22">
        <v>44935.334097222221</v>
      </c>
      <c r="C14" t="s">
        <v>40</v>
      </c>
      <c r="D14" t="s">
        <v>8</v>
      </c>
      <c r="E14">
        <v>1</v>
      </c>
      <c r="F14">
        <v>750</v>
      </c>
      <c r="G14">
        <v>750</v>
      </c>
    </row>
    <row r="15" spans="1:7" x14ac:dyDescent="0.35">
      <c r="A15">
        <v>100061</v>
      </c>
      <c r="B15" s="22">
        <v>44935.334097222221</v>
      </c>
      <c r="C15" t="s">
        <v>40</v>
      </c>
      <c r="D15" t="s">
        <v>11</v>
      </c>
      <c r="E15">
        <v>1</v>
      </c>
      <c r="F15">
        <v>1500</v>
      </c>
      <c r="G15">
        <v>1500</v>
      </c>
    </row>
    <row r="16" spans="1:7" x14ac:dyDescent="0.35">
      <c r="A16">
        <v>100062</v>
      </c>
      <c r="B16" s="22">
        <v>44935.381296296298</v>
      </c>
      <c r="C16" t="s">
        <v>40</v>
      </c>
      <c r="D16" t="s">
        <v>8</v>
      </c>
      <c r="E16">
        <v>1</v>
      </c>
      <c r="F16">
        <v>750</v>
      </c>
      <c r="G16">
        <v>750</v>
      </c>
    </row>
    <row r="17" spans="1:7" x14ac:dyDescent="0.35">
      <c r="A17">
        <v>100062</v>
      </c>
      <c r="B17" s="22">
        <v>44935.381296296298</v>
      </c>
      <c r="C17" t="s">
        <v>40</v>
      </c>
      <c r="D17" t="s">
        <v>7</v>
      </c>
      <c r="E17">
        <v>5</v>
      </c>
      <c r="F17">
        <v>250</v>
      </c>
      <c r="G17">
        <v>1250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Gestion de caisse</vt:lpstr>
      <vt:lpstr>BDArticles</vt:lpstr>
      <vt:lpstr>Ventes</vt:lpstr>
      <vt:lpstr>pieddereçu2</vt:lpstr>
      <vt:lpstr>'Gestion de caisse'!Zone_d_impression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Moi</cp:lastModifiedBy>
  <cp:lastPrinted>2023-01-12T08:54:44Z</cp:lastPrinted>
  <dcterms:created xsi:type="dcterms:W3CDTF">2023-01-07T07:19:20Z</dcterms:created>
  <dcterms:modified xsi:type="dcterms:W3CDTF">2024-02-02T16:28:41Z</dcterms:modified>
</cp:coreProperties>
</file>